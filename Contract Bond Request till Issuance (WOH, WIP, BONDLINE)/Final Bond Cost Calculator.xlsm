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ISHIKESH.GIRI\Desktop\Requirement and Analysis\"/>
    </mc:Choice>
  </mc:AlternateContent>
  <bookViews>
    <workbookView xWindow="0" yWindow="0" windowWidth="28800" windowHeight="12120"/>
  </bookViews>
  <sheets>
    <sheet name="Flat" sheetId="1" r:id="rId1"/>
    <sheet name="Sliding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3" l="1"/>
  <c r="H19" i="3" s="1"/>
  <c r="H20" i="3" s="1"/>
  <c r="D12" i="3"/>
  <c r="I14" i="3" s="1"/>
  <c r="D7" i="3"/>
  <c r="H9" i="3" s="1"/>
  <c r="H10" i="3" s="1"/>
  <c r="I9" i="3" l="1"/>
  <c r="H14" i="3"/>
  <c r="H15" i="3" s="1"/>
  <c r="I19" i="3"/>
  <c r="I20" i="3" s="1"/>
  <c r="I15" i="3"/>
  <c r="I8" i="1"/>
  <c r="I9" i="1" s="1"/>
  <c r="K15" i="1" s="1"/>
  <c r="H8" i="1"/>
  <c r="H9" i="1" s="1"/>
  <c r="I10" i="3" l="1"/>
  <c r="K26" i="3" s="1"/>
  <c r="J21" i="3"/>
  <c r="H26" i="3" s="1"/>
  <c r="H27" i="3" s="1"/>
  <c r="J10" i="1"/>
  <c r="H15" i="1"/>
  <c r="J18" i="1" s="1"/>
  <c r="H23" i="1" s="1"/>
  <c r="J26" i="1" s="1"/>
  <c r="H30" i="1" s="1"/>
  <c r="J32" i="1" s="1"/>
  <c r="H3" i="1" s="1"/>
  <c r="R11" i="1" s="1"/>
  <c r="K8" i="1"/>
  <c r="R6" i="1" s="1"/>
  <c r="J29" i="3" l="1"/>
  <c r="H34" i="3" s="1"/>
  <c r="J37" i="3" s="1"/>
  <c r="H41" i="3" s="1"/>
  <c r="J43" i="3" s="1"/>
  <c r="H3" i="3" s="1"/>
  <c r="I27" i="3"/>
  <c r="K34" i="3" s="1"/>
  <c r="K14" i="3"/>
  <c r="L14" i="3" s="1"/>
  <c r="K9" i="3"/>
  <c r="L9" i="3" s="1"/>
  <c r="H16" i="1"/>
  <c r="I24" i="1"/>
  <c r="K30" i="1" s="1"/>
  <c r="K31" i="1" s="1"/>
  <c r="L30" i="1" s="1"/>
  <c r="H24" i="1"/>
  <c r="I16" i="1"/>
  <c r="L8" i="1"/>
  <c r="K27" i="3" l="1"/>
  <c r="R8" i="3" s="1"/>
  <c r="H35" i="3"/>
  <c r="I35" i="3"/>
  <c r="K41" i="3" s="1"/>
  <c r="K42" i="3" s="1"/>
  <c r="L42" i="3" s="1"/>
  <c r="R6" i="3"/>
  <c r="R9" i="1"/>
  <c r="K23" i="1"/>
  <c r="K24" i="1" s="1"/>
  <c r="L22" i="1" s="1"/>
  <c r="K16" i="1"/>
  <c r="L27" i="3" l="1"/>
  <c r="K35" i="3"/>
  <c r="R9" i="3" s="1"/>
  <c r="R10" i="3"/>
  <c r="R8" i="1"/>
  <c r="R7" i="1"/>
  <c r="L14" i="1"/>
  <c r="R12" i="3" l="1"/>
  <c r="L35" i="3"/>
</calcChain>
</file>

<file path=xl/sharedStrings.xml><?xml version="1.0" encoding="utf-8"?>
<sst xmlns="http://schemas.openxmlformats.org/spreadsheetml/2006/main" count="129" uniqueCount="30">
  <si>
    <t>Carrier</t>
  </si>
  <si>
    <t>Base Rate (% of Bond Amount)</t>
  </si>
  <si>
    <t>Base Cost</t>
  </si>
  <si>
    <t>Principal</t>
  </si>
  <si>
    <t>Commission You Made</t>
  </si>
  <si>
    <t>Add Agency Fees</t>
  </si>
  <si>
    <t>Carrier Revenue</t>
  </si>
  <si>
    <t>Total Bond Cost</t>
  </si>
  <si>
    <t>Agency-2</t>
  </si>
  <si>
    <t>Agency-3</t>
  </si>
  <si>
    <t>Agency-1</t>
  </si>
  <si>
    <t>Agency Revenue</t>
  </si>
  <si>
    <t>Commission Paid to Agency-1</t>
  </si>
  <si>
    <t>Commission Paid to Agency-2</t>
  </si>
  <si>
    <t>Commission Paid to Agency-3</t>
  </si>
  <si>
    <t>Commision Rate to Agency-2</t>
  </si>
  <si>
    <t>Commision Rate to Agency-1</t>
  </si>
  <si>
    <t>Commision Rate to Agency-3</t>
  </si>
  <si>
    <t>SYSTEM</t>
  </si>
  <si>
    <t>OVERRIDE</t>
  </si>
  <si>
    <t>Bond Summary</t>
  </si>
  <si>
    <t>Revenue to Carrier</t>
  </si>
  <si>
    <t>Revenue to Agency-1</t>
  </si>
  <si>
    <t>Revenue to Agency-2</t>
  </si>
  <si>
    <t>Revenue to Agency-3</t>
  </si>
  <si>
    <t>Bond Cost Calculator</t>
  </si>
  <si>
    <t>Enter Bond Amount</t>
  </si>
  <si>
    <t>Tier 1</t>
  </si>
  <si>
    <t>Tier 2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</si>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</sst>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</cellStyleXfs>
  <cellXfs count="143">
    <xf numFmtId="0" fontId="0" fillId="0" borderId="0" xfId="0"/>
    <xf numFmtId="0" fontId="2" fillId="3" borderId="2" xfId="0" applyFont="1" applyFill="1" applyBorder="1"/>
    <xf numFmtId="9" fontId="2" fillId="3" borderId="2" xfId="2" applyFont="1" applyFill="1" applyBorder="1"/>
    <xf numFmtId="164" fontId="2" fillId="3" borderId="2" xfId="0" applyNumberFormat="1" applyFont="1" applyFill="1" applyBorder="1"/>
    <xf numFmtId="0" fontId="2" fillId="5" borderId="2" xfId="0" applyFont="1" applyFill="1" applyBorder="1"/>
    <xf numFmtId="0" fontId="2" fillId="5" borderId="0" xfId="0" applyFont="1" applyFill="1"/>
    <xf numFmtId="0" fontId="2" fillId="5" borderId="0" xfId="0" applyFont="1" applyFill="1" applyBorder="1"/>
    <xf numFmtId="164" fontId="2" fillId="5" borderId="0" xfId="0" applyNumberFormat="1" applyFont="1" applyFill="1"/>
    <xf numFmtId="44" fontId="2" fillId="5" borderId="0" xfId="0" applyNumberFormat="1" applyFont="1" applyFill="1"/>
    <xf numFmtId="164" fontId="4" fillId="3" borderId="2" xfId="0" applyNumberFormat="1" applyFont="1" applyFill="1" applyBorder="1"/>
    <xf numFmtId="164" fontId="4" fillId="3" borderId="2" xfId="2" applyNumberFormat="1" applyFont="1" applyFill="1" applyBorder="1"/>
    <xf numFmtId="0" fontId="2" fillId="4" borderId="9" xfId="0" applyFont="1" applyFill="1" applyBorder="1"/>
    <xf numFmtId="0" fontId="2" fillId="5" borderId="13" xfId="0" applyFont="1" applyFill="1" applyBorder="1"/>
    <xf numFmtId="0" fontId="2" fillId="5" borderId="14" xfId="0" applyFont="1" applyFill="1" applyBorder="1"/>
    <xf numFmtId="0" fontId="2" fillId="5" borderId="15" xfId="0" applyFont="1" applyFill="1" applyBorder="1"/>
    <xf numFmtId="0" fontId="2" fillId="5" borderId="16" xfId="0" applyFont="1" applyFill="1" applyBorder="1"/>
    <xf numFmtId="0" fontId="2" fillId="5" borderId="17" xfId="0" applyFont="1" applyFill="1" applyBorder="1"/>
    <xf numFmtId="164" fontId="2" fillId="5" borderId="0" xfId="0" applyNumberFormat="1" applyFont="1" applyFill="1" applyBorder="1"/>
    <xf numFmtId="0" fontId="2" fillId="5" borderId="18" xfId="0" applyFont="1" applyFill="1" applyBorder="1"/>
    <xf numFmtId="0" fontId="2" fillId="5" borderId="19" xfId="0" applyFont="1" applyFill="1" applyBorder="1"/>
    <xf numFmtId="0" fontId="2" fillId="5" borderId="20" xfId="0" applyFont="1" applyFill="1" applyBorder="1"/>
    <xf numFmtId="0" fontId="2" fillId="3" borderId="2" xfId="0" applyFont="1" applyFill="1" applyBorder="1" applyAlignment="1">
      <alignment vertical="center"/>
    </xf>
    <xf numFmtId="0" fontId="8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164" fontId="7" fillId="3" borderId="2" xfId="0" applyNumberFormat="1" applyFont="1" applyFill="1" applyBorder="1" applyAlignment="1">
      <alignment horizontal="right" vertical="center"/>
    </xf>
    <xf numFmtId="9" fontId="2" fillId="0" borderId="2" xfId="2" applyFont="1" applyFill="1" applyBorder="1"/>
    <xf numFmtId="0" fontId="2" fillId="5" borderId="3" xfId="0" applyFont="1" applyFill="1" applyBorder="1" applyAlignment="1"/>
    <xf numFmtId="0" fontId="2" fillId="5" borderId="5" xfId="0" applyFont="1" applyFill="1" applyBorder="1" applyAlignment="1"/>
    <xf numFmtId="0" fontId="2" fillId="5" borderId="4" xfId="0" applyFont="1" applyFill="1" applyBorder="1" applyAlignment="1"/>
    <xf numFmtId="9" fontId="2" fillId="5" borderId="5" xfId="0" applyNumberFormat="1" applyFont="1" applyFill="1" applyBorder="1" applyAlignment="1"/>
    <xf numFmtId="164" fontId="2" fillId="5" borderId="2" xfId="0" applyNumberFormat="1" applyFont="1" applyFill="1" applyBorder="1"/>
    <xf numFmtId="0" fontId="3" fillId="5" borderId="2" xfId="0" applyFont="1" applyFill="1" applyBorder="1"/>
    <xf numFmtId="164" fontId="2" fillId="5" borderId="10" xfId="0" applyNumberFormat="1" applyFont="1" applyFill="1" applyBorder="1"/>
    <xf numFmtId="164" fontId="7" fillId="3" borderId="2" xfId="0" applyNumberFormat="1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center"/>
    </xf>
    <xf numFmtId="0" fontId="2" fillId="3" borderId="29" xfId="0" applyFont="1" applyFill="1" applyBorder="1"/>
    <xf numFmtId="0" fontId="9" fillId="3" borderId="30" xfId="0" applyFont="1" applyFill="1" applyBorder="1" applyAlignment="1">
      <alignment horizontal="center"/>
    </xf>
    <xf numFmtId="9" fontId="2" fillId="0" borderId="30" xfId="2" applyFont="1" applyFill="1" applyBorder="1"/>
    <xf numFmtId="0" fontId="2" fillId="3" borderId="9" xfId="0" applyFont="1" applyFill="1" applyBorder="1"/>
    <xf numFmtId="9" fontId="2" fillId="3" borderId="38" xfId="2" applyFont="1" applyFill="1" applyBorder="1"/>
    <xf numFmtId="9" fontId="2" fillId="0" borderId="10" xfId="2" applyFont="1" applyFill="1" applyBorder="1"/>
    <xf numFmtId="0" fontId="8" fillId="3" borderId="0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9" fillId="3" borderId="37" xfId="0" applyFont="1" applyFill="1" applyBorder="1" applyAlignment="1">
      <alignment horizontal="center"/>
    </xf>
    <xf numFmtId="0" fontId="8" fillId="3" borderId="0" xfId="0" applyFont="1" applyFill="1" applyBorder="1" applyAlignment="1"/>
    <xf numFmtId="0" fontId="8" fillId="3" borderId="17" xfId="0" applyFont="1" applyFill="1" applyBorder="1" applyAlignment="1"/>
    <xf numFmtId="0" fontId="2" fillId="3" borderId="0" xfId="0" applyFont="1" applyFill="1" applyBorder="1" applyAlignment="1"/>
    <xf numFmtId="0" fontId="8" fillId="3" borderId="17" xfId="0" applyFont="1" applyFill="1" applyBorder="1" applyAlignment="1">
      <alignment horizontal="center"/>
    </xf>
    <xf numFmtId="9" fontId="2" fillId="3" borderId="0" xfId="0" applyNumberFormat="1" applyFont="1" applyFill="1" applyBorder="1" applyAlignment="1"/>
    <xf numFmtId="0" fontId="2" fillId="3" borderId="26" xfId="0" applyFont="1" applyFill="1" applyBorder="1" applyAlignment="1"/>
    <xf numFmtId="0" fontId="2" fillId="3" borderId="40" xfId="0" applyFont="1" applyFill="1" applyBorder="1" applyAlignment="1"/>
    <xf numFmtId="0" fontId="9" fillId="3" borderId="8" xfId="0" applyFont="1" applyFill="1" applyBorder="1" applyAlignment="1">
      <alignment horizontal="center"/>
    </xf>
    <xf numFmtId="164" fontId="2" fillId="3" borderId="30" xfId="0" applyNumberFormat="1" applyFont="1" applyFill="1" applyBorder="1"/>
    <xf numFmtId="164" fontId="4" fillId="3" borderId="38" xfId="2" applyNumberFormat="1" applyFont="1" applyFill="1" applyBorder="1"/>
    <xf numFmtId="164" fontId="2" fillId="3" borderId="10" xfId="0" applyNumberFormat="1" applyFont="1" applyFill="1" applyBorder="1"/>
    <xf numFmtId="0" fontId="2" fillId="3" borderId="41" xfId="0" applyFont="1" applyFill="1" applyBorder="1"/>
    <xf numFmtId="164" fontId="4" fillId="3" borderId="3" xfId="2" applyNumberFormat="1" applyFont="1" applyFill="1" applyBorder="1"/>
    <xf numFmtId="164" fontId="2" fillId="3" borderId="31" xfId="0" applyNumberFormat="1" applyFont="1" applyFill="1" applyBorder="1"/>
    <xf numFmtId="0" fontId="10" fillId="5" borderId="19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0" fontId="8" fillId="3" borderId="24" xfId="0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7" fillId="4" borderId="8" xfId="0" applyNumberFormat="1" applyFont="1" applyFill="1" applyBorder="1" applyAlignment="1">
      <alignment horizontal="center" vertical="center"/>
    </xf>
    <xf numFmtId="164" fontId="7" fillId="4" borderId="10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left" vertical="center"/>
    </xf>
    <xf numFmtId="164" fontId="7" fillId="3" borderId="2" xfId="0" applyNumberFormat="1" applyFont="1" applyFill="1" applyBorder="1" applyAlignment="1">
      <alignment horizontal="right" vertical="center"/>
    </xf>
    <xf numFmtId="0" fontId="6" fillId="2" borderId="2" xfId="3" applyFont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/>
    </xf>
    <xf numFmtId="0" fontId="2" fillId="5" borderId="24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0" fontId="2" fillId="5" borderId="2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2" fillId="5" borderId="28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1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6" fillId="2" borderId="3" xfId="3" applyFont="1" applyBorder="1" applyAlignment="1">
      <alignment horizontal="center" vertical="center" wrapText="1"/>
    </xf>
    <xf numFmtId="0" fontId="6" fillId="2" borderId="5" xfId="3" applyFont="1" applyBorder="1" applyAlignment="1">
      <alignment horizontal="center" vertical="center" wrapText="1"/>
    </xf>
    <xf numFmtId="0" fontId="6" fillId="2" borderId="4" xfId="3" applyFont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164" fontId="5" fillId="0" borderId="23" xfId="1" applyNumberFormat="1" applyFont="1" applyFill="1" applyBorder="1" applyAlignment="1">
      <alignment horizontal="center" vertical="center"/>
    </xf>
    <xf numFmtId="164" fontId="5" fillId="0" borderId="21" xfId="1" applyNumberFormat="1" applyFont="1" applyFill="1" applyBorder="1" applyAlignment="1">
      <alignment horizontal="center" vertical="center"/>
    </xf>
    <xf numFmtId="164" fontId="5" fillId="0" borderId="2" xfId="1" applyNumberFormat="1" applyFont="1" applyFill="1" applyBorder="1" applyAlignment="1">
      <alignment horizontal="center"/>
    </xf>
    <xf numFmtId="164" fontId="5" fillId="0" borderId="23" xfId="1" applyNumberFormat="1" applyFont="1" applyFill="1" applyBorder="1" applyAlignment="1">
      <alignment horizontal="center"/>
    </xf>
    <xf numFmtId="164" fontId="5" fillId="0" borderId="21" xfId="1" applyNumberFormat="1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11" xfId="0" applyFont="1" applyFill="1" applyBorder="1" applyAlignment="1">
      <alignment horizontal="center"/>
    </xf>
    <xf numFmtId="0" fontId="2" fillId="0" borderId="2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8" fillId="3" borderId="33" xfId="0" applyFont="1" applyFill="1" applyBorder="1" applyAlignment="1">
      <alignment horizontal="center" vertical="center" wrapText="1"/>
    </xf>
    <xf numFmtId="0" fontId="8" fillId="3" borderId="29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39" xfId="0" applyFont="1" applyFill="1" applyBorder="1" applyAlignment="1">
      <alignment horizontal="center"/>
    </xf>
    <xf numFmtId="0" fontId="3" fillId="3" borderId="42" xfId="0" applyFont="1" applyFill="1" applyBorder="1" applyAlignment="1">
      <alignment horizontal="center"/>
    </xf>
    <xf numFmtId="0" fontId="3" fillId="3" borderId="43" xfId="0" applyFont="1" applyFill="1" applyBorder="1" applyAlignment="1">
      <alignment horizontal="center"/>
    </xf>
    <xf numFmtId="164" fontId="2" fillId="3" borderId="43" xfId="0" applyNumberFormat="1" applyFont="1" applyFill="1" applyBorder="1" applyAlignment="1">
      <alignment horizontal="center" vertical="center"/>
    </xf>
    <xf numFmtId="164" fontId="2" fillId="3" borderId="44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164" fontId="7" fillId="3" borderId="37" xfId="0" applyNumberFormat="1" applyFont="1" applyFill="1" applyBorder="1" applyAlignment="1">
      <alignment horizontal="right" vertical="center"/>
    </xf>
    <xf numFmtId="164" fontId="7" fillId="3" borderId="38" xfId="0" applyNumberFormat="1" applyFont="1" applyFill="1" applyBorder="1" applyAlignment="1">
      <alignment horizontal="right" vertical="center"/>
    </xf>
    <xf numFmtId="0" fontId="8" fillId="3" borderId="7" xfId="0" applyFont="1" applyFill="1" applyBorder="1" applyAlignment="1">
      <alignment horizontal="center" vertical="center" wrapText="1"/>
    </xf>
    <xf numFmtId="0" fontId="6" fillId="2" borderId="8" xfId="3" applyFont="1" applyBorder="1" applyAlignment="1">
      <alignment horizontal="center" vertical="center" wrapText="1"/>
    </xf>
    <xf numFmtId="0" fontId="6" fillId="2" borderId="10" xfId="3" applyFont="1" applyBorder="1" applyAlignment="1">
      <alignment horizontal="center" vertical="center" wrapText="1"/>
    </xf>
    <xf numFmtId="164" fontId="8" fillId="3" borderId="4" xfId="0" applyNumberFormat="1" applyFont="1" applyFill="1" applyBorder="1" applyAlignment="1">
      <alignment horizontal="center"/>
    </xf>
    <xf numFmtId="164" fontId="8" fillId="3" borderId="32" xfId="0" applyNumberFormat="1" applyFont="1" applyFill="1" applyBorder="1" applyAlignment="1">
      <alignment horizontal="center"/>
    </xf>
    <xf numFmtId="164" fontId="8" fillId="3" borderId="37" xfId="0" applyNumberFormat="1" applyFont="1" applyFill="1" applyBorder="1" applyAlignment="1">
      <alignment horizontal="center"/>
    </xf>
    <xf numFmtId="164" fontId="8" fillId="3" borderId="8" xfId="0" applyNumberFormat="1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8" fillId="3" borderId="34" xfId="0" applyFont="1" applyFill="1" applyBorder="1" applyAlignment="1">
      <alignment horizontal="center"/>
    </xf>
    <xf numFmtId="0" fontId="8" fillId="3" borderId="35" xfId="0" applyFont="1" applyFill="1" applyBorder="1" applyAlignment="1">
      <alignment horizontal="center"/>
    </xf>
    <xf numFmtId="0" fontId="8" fillId="3" borderId="36" xfId="0" applyFont="1" applyFill="1" applyBorder="1" applyAlignment="1">
      <alignment horizontal="center"/>
    </xf>
  </cellXfs>
  <cellStyles count="4">
    <cellStyle name="Currency" xfId="1" builtinId="4"/>
    <cellStyle name="Normal" xfId="0" builtinId="0"/>
    <cellStyle name="Note" xfId="3" builtinId="10"/>
    <cellStyle name="Percent" xfId="2" builtinId="5"/>
  </cellStyles>
  <dxfs count="6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</xdr:row>
          <xdr:rowOff>9525</xdr:rowOff>
        </xdr:from>
        <xdr:to>
          <xdr:col>10</xdr:col>
          <xdr:colOff>542925</xdr:colOff>
          <xdr:row>4</xdr:row>
          <xdr:rowOff>28575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33"/>
  <sheetViews>
    <sheetView tabSelected="1" zoomScaleNormal="100" workbookViewId="0">
      <selection activeCell="E15" sqref="E15"/>
    </sheetView>
  </sheetViews>
  <sheetFormatPr defaultColWidth="8.5703125" defaultRowHeight="15.75" x14ac:dyDescent="0.25"/>
  <cols>
    <col min="1" max="1" width="8.42578125" style="5" customWidth="1"/>
    <col min="2" max="2" width="8.28515625" style="5" customWidth="1"/>
    <col min="3" max="3" width="30.140625" style="5" bestFit="1" customWidth="1"/>
    <col min="4" max="4" width="14.28515625" style="5" bestFit="1" customWidth="1"/>
    <col min="5" max="5" width="10.7109375" style="5" bestFit="1" customWidth="1"/>
    <col min="6" max="6" width="6" style="5" bestFit="1" customWidth="1"/>
    <col min="7" max="7" width="29" style="5" bestFit="1" customWidth="1"/>
    <col min="8" max="8" width="18.7109375" style="5" bestFit="1" customWidth="1"/>
    <col min="9" max="9" width="12.42578125" style="5" bestFit="1" customWidth="1"/>
    <col min="10" max="10" width="22.5703125" style="5" bestFit="1" customWidth="1"/>
    <col min="11" max="11" width="16.85546875" style="5" bestFit="1" customWidth="1"/>
    <col min="12" max="12" width="17.28515625" style="5" bestFit="1" customWidth="1"/>
    <col min="13" max="13" width="8.28515625" style="5" customWidth="1"/>
    <col min="14" max="14" width="8.42578125" style="5" customWidth="1"/>
    <col min="15" max="16" width="8.5703125" style="5"/>
    <col min="17" max="17" width="20.85546875" style="5" bestFit="1" customWidth="1"/>
    <col min="18" max="18" width="12.42578125" style="5" bestFit="1" customWidth="1"/>
    <col min="19" max="16384" width="8.5703125" style="5"/>
  </cols>
  <sheetData>
    <row r="1" spans="2:18" ht="27" thickBot="1" x14ac:dyDescent="0.45">
      <c r="D1" s="59" t="s">
        <v>25</v>
      </c>
      <c r="E1" s="59"/>
      <c r="F1" s="59"/>
      <c r="G1" s="59"/>
      <c r="H1" s="59"/>
      <c r="I1" s="59"/>
      <c r="J1" s="59"/>
    </row>
    <row r="2" spans="2:18" ht="16.5" thickBot="1" x14ac:dyDescent="0.3"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</row>
    <row r="3" spans="2:18" ht="18.75" x14ac:dyDescent="0.3">
      <c r="B3" s="15"/>
      <c r="C3" s="73" t="s">
        <v>3</v>
      </c>
      <c r="D3" s="73"/>
      <c r="E3" s="6"/>
      <c r="F3" s="6"/>
      <c r="G3" s="69" t="s">
        <v>7</v>
      </c>
      <c r="H3" s="71">
        <f>J32</f>
        <v>130</v>
      </c>
      <c r="I3" s="6"/>
      <c r="J3" s="6"/>
      <c r="K3" s="6"/>
      <c r="L3" s="6"/>
      <c r="M3" s="16"/>
    </row>
    <row r="4" spans="2:18" ht="16.5" thickBot="1" x14ac:dyDescent="0.3">
      <c r="B4" s="15"/>
      <c r="C4" s="11" t="s">
        <v>26</v>
      </c>
      <c r="D4" s="33">
        <v>1000</v>
      </c>
      <c r="E4" s="6"/>
      <c r="F4" s="6"/>
      <c r="G4" s="70"/>
      <c r="H4" s="72"/>
      <c r="I4" s="6"/>
      <c r="J4" s="6"/>
      <c r="K4" s="17"/>
      <c r="L4" s="6"/>
      <c r="M4" s="16"/>
    </row>
    <row r="5" spans="2:18" x14ac:dyDescent="0.25">
      <c r="B5" s="15"/>
      <c r="C5" s="6"/>
      <c r="D5" s="6"/>
      <c r="E5" s="6"/>
      <c r="F5" s="6"/>
      <c r="G5" s="6"/>
      <c r="H5" s="6"/>
      <c r="I5" s="6"/>
      <c r="J5" s="6"/>
      <c r="K5" s="6"/>
      <c r="L5" s="6"/>
      <c r="M5" s="16"/>
      <c r="Q5" s="99" t="s">
        <v>20</v>
      </c>
      <c r="R5" s="99"/>
    </row>
    <row r="6" spans="2:18" ht="18.75" x14ac:dyDescent="0.3">
      <c r="B6" s="15"/>
      <c r="C6" s="60" t="s">
        <v>0</v>
      </c>
      <c r="D6" s="61"/>
      <c r="E6" s="62"/>
      <c r="F6" s="27"/>
      <c r="G6" s="60" t="s">
        <v>0</v>
      </c>
      <c r="H6" s="61"/>
      <c r="I6" s="61"/>
      <c r="J6" s="61"/>
      <c r="K6" s="61"/>
      <c r="L6" s="62"/>
      <c r="M6" s="16"/>
      <c r="Q6" s="4" t="s">
        <v>21</v>
      </c>
      <c r="R6" s="31">
        <f>K8</f>
        <v>90</v>
      </c>
    </row>
    <row r="7" spans="2:18" ht="18.75" x14ac:dyDescent="0.3">
      <c r="B7" s="15"/>
      <c r="C7" s="22"/>
      <c r="D7" s="24" t="s">
        <v>18</v>
      </c>
      <c r="E7" s="24" t="s">
        <v>19</v>
      </c>
      <c r="F7" s="28"/>
      <c r="G7" s="22"/>
      <c r="H7" s="24" t="s">
        <v>18</v>
      </c>
      <c r="I7" s="24" t="s">
        <v>19</v>
      </c>
      <c r="J7" s="60"/>
      <c r="K7" s="61"/>
      <c r="L7" s="62"/>
      <c r="M7" s="16"/>
      <c r="Q7" s="4" t="s">
        <v>22</v>
      </c>
      <c r="R7" s="31">
        <f>K16</f>
        <v>10</v>
      </c>
    </row>
    <row r="8" spans="2:18" x14ac:dyDescent="0.25">
      <c r="B8" s="15"/>
      <c r="C8" s="1" t="s">
        <v>1</v>
      </c>
      <c r="D8" s="2">
        <v>0.1</v>
      </c>
      <c r="E8" s="26">
        <v>0.1</v>
      </c>
      <c r="F8" s="30"/>
      <c r="G8" s="1" t="s">
        <v>2</v>
      </c>
      <c r="H8" s="3">
        <f>D4*D8</f>
        <v>100</v>
      </c>
      <c r="I8" s="3">
        <f>D4*E8</f>
        <v>100</v>
      </c>
      <c r="J8" s="74" t="s">
        <v>6</v>
      </c>
      <c r="K8" s="75">
        <f>I8-I9</f>
        <v>90</v>
      </c>
      <c r="L8" s="76" t="str">
        <f>IF(K8=0,"No Profit",IF(K8&lt;=0,"You are in Loss, Add Fees","You are in Profit"))</f>
        <v>You are in Profit</v>
      </c>
      <c r="M8" s="16"/>
      <c r="Q8" s="4" t="s">
        <v>23</v>
      </c>
      <c r="R8" s="31">
        <f>K24</f>
        <v>9</v>
      </c>
    </row>
    <row r="9" spans="2:18" x14ac:dyDescent="0.25">
      <c r="B9" s="15"/>
      <c r="C9" s="1" t="s">
        <v>16</v>
      </c>
      <c r="D9" s="2">
        <v>0.1</v>
      </c>
      <c r="E9" s="26">
        <v>0.1</v>
      </c>
      <c r="F9" s="28"/>
      <c r="G9" s="1" t="s">
        <v>12</v>
      </c>
      <c r="H9" s="10">
        <f>H8*D9</f>
        <v>10</v>
      </c>
      <c r="I9" s="3">
        <f>I8*E9</f>
        <v>10</v>
      </c>
      <c r="J9" s="74"/>
      <c r="K9" s="75"/>
      <c r="L9" s="76"/>
      <c r="M9" s="16"/>
      <c r="Q9" s="4" t="s">
        <v>24</v>
      </c>
      <c r="R9" s="31">
        <f>K31</f>
        <v>21</v>
      </c>
    </row>
    <row r="10" spans="2:18" x14ac:dyDescent="0.25">
      <c r="B10" s="15"/>
      <c r="C10" s="77"/>
      <c r="D10" s="78"/>
      <c r="E10" s="79"/>
      <c r="F10" s="29"/>
      <c r="G10" s="63" t="s">
        <v>7</v>
      </c>
      <c r="H10" s="64"/>
      <c r="I10" s="65"/>
      <c r="J10" s="66">
        <f>I8</f>
        <v>100</v>
      </c>
      <c r="K10" s="67"/>
      <c r="L10" s="68"/>
      <c r="M10" s="16"/>
      <c r="Q10" s="77"/>
      <c r="R10" s="79"/>
    </row>
    <row r="11" spans="2:18" x14ac:dyDescent="0.25">
      <c r="B11" s="15"/>
      <c r="C11" s="6"/>
      <c r="D11" s="6"/>
      <c r="E11" s="6"/>
      <c r="F11" s="6"/>
      <c r="G11" s="6"/>
      <c r="H11" s="6"/>
      <c r="I11" s="6"/>
      <c r="J11" s="6"/>
      <c r="K11" s="6"/>
      <c r="L11" s="6"/>
      <c r="M11" s="16"/>
      <c r="Q11" s="32" t="s">
        <v>7</v>
      </c>
      <c r="R11" s="31">
        <f>H3</f>
        <v>130</v>
      </c>
    </row>
    <row r="12" spans="2:18" x14ac:dyDescent="0.25">
      <c r="B12" s="15"/>
      <c r="C12" s="6"/>
      <c r="D12" s="6"/>
      <c r="E12" s="6"/>
      <c r="F12" s="6"/>
      <c r="G12" s="6"/>
      <c r="H12" s="6"/>
      <c r="I12" s="6"/>
      <c r="J12" s="6"/>
      <c r="K12" s="6"/>
      <c r="L12" s="6"/>
      <c r="M12" s="16"/>
    </row>
    <row r="13" spans="2:18" ht="18.75" x14ac:dyDescent="0.3">
      <c r="B13" s="15"/>
      <c r="C13" s="60" t="s">
        <v>10</v>
      </c>
      <c r="D13" s="61"/>
      <c r="E13" s="62"/>
      <c r="F13" s="91"/>
      <c r="G13" s="60" t="s">
        <v>10</v>
      </c>
      <c r="H13" s="61"/>
      <c r="I13" s="61"/>
      <c r="J13" s="61"/>
      <c r="K13" s="61"/>
      <c r="L13" s="62"/>
      <c r="M13" s="16"/>
      <c r="O13" s="8"/>
    </row>
    <row r="14" spans="2:18" ht="18.75" x14ac:dyDescent="0.3">
      <c r="B14" s="15"/>
      <c r="C14" s="22"/>
      <c r="D14" s="24" t="s">
        <v>18</v>
      </c>
      <c r="E14" s="24" t="s">
        <v>19</v>
      </c>
      <c r="F14" s="92"/>
      <c r="G14" s="22"/>
      <c r="H14" s="24" t="s">
        <v>18</v>
      </c>
      <c r="I14" s="24" t="s">
        <v>19</v>
      </c>
      <c r="J14" s="22"/>
      <c r="K14" s="22"/>
      <c r="L14" s="94" t="str">
        <f>IF(K16=0,"No Profit",IF(K16&lt;=0,"You are in Loss, Add Fees","You are in Profit"))</f>
        <v>You are in Profit</v>
      </c>
      <c r="M14" s="16"/>
    </row>
    <row r="15" spans="2:18" x14ac:dyDescent="0.25">
      <c r="B15" s="15"/>
      <c r="C15" s="1" t="s">
        <v>15</v>
      </c>
      <c r="D15" s="2">
        <v>0.1</v>
      </c>
      <c r="E15" s="26">
        <v>0.1</v>
      </c>
      <c r="F15" s="93"/>
      <c r="G15" s="1" t="s">
        <v>2</v>
      </c>
      <c r="H15" s="89">
        <f>I8</f>
        <v>100</v>
      </c>
      <c r="I15" s="90"/>
      <c r="J15" s="1" t="s">
        <v>4</v>
      </c>
      <c r="K15" s="3">
        <f>I9</f>
        <v>10</v>
      </c>
      <c r="L15" s="95"/>
      <c r="M15" s="16"/>
    </row>
    <row r="16" spans="2:18" x14ac:dyDescent="0.25">
      <c r="B16" s="15"/>
      <c r="C16" s="80"/>
      <c r="D16" s="81"/>
      <c r="E16" s="81"/>
      <c r="F16" s="82"/>
      <c r="G16" s="1" t="s">
        <v>13</v>
      </c>
      <c r="H16" s="9">
        <f>H15*D15</f>
        <v>10</v>
      </c>
      <c r="I16" s="3">
        <f>H15*E15</f>
        <v>10</v>
      </c>
      <c r="J16" s="74" t="s">
        <v>11</v>
      </c>
      <c r="K16" s="75">
        <f>(K15-I16)+H17</f>
        <v>10</v>
      </c>
      <c r="L16" s="95"/>
      <c r="M16" s="16"/>
    </row>
    <row r="17" spans="2:14" x14ac:dyDescent="0.25">
      <c r="B17" s="15"/>
      <c r="C17" s="83"/>
      <c r="D17" s="84"/>
      <c r="E17" s="84"/>
      <c r="F17" s="85"/>
      <c r="G17" s="1" t="s">
        <v>5</v>
      </c>
      <c r="H17" s="102">
        <v>10</v>
      </c>
      <c r="I17" s="102"/>
      <c r="J17" s="74"/>
      <c r="K17" s="75"/>
      <c r="L17" s="96"/>
      <c r="M17" s="16"/>
    </row>
    <row r="18" spans="2:14" x14ac:dyDescent="0.25">
      <c r="B18" s="15"/>
      <c r="C18" s="86"/>
      <c r="D18" s="87"/>
      <c r="E18" s="87"/>
      <c r="F18" s="88"/>
      <c r="G18" s="63" t="s">
        <v>7</v>
      </c>
      <c r="H18" s="64"/>
      <c r="I18" s="65"/>
      <c r="J18" s="66">
        <f>H15+H17</f>
        <v>110</v>
      </c>
      <c r="K18" s="67"/>
      <c r="L18" s="68"/>
      <c r="M18" s="16"/>
      <c r="N18" s="7"/>
    </row>
    <row r="19" spans="2:14" x14ac:dyDescent="0.25">
      <c r="B19" s="15"/>
      <c r="C19" s="6"/>
      <c r="D19" s="6"/>
      <c r="E19" s="6"/>
      <c r="F19" s="6"/>
      <c r="G19" s="6"/>
      <c r="H19" s="6"/>
      <c r="I19" s="6"/>
      <c r="J19" s="6"/>
      <c r="K19" s="6"/>
      <c r="L19" s="6"/>
      <c r="M19" s="16"/>
    </row>
    <row r="20" spans="2:14" x14ac:dyDescent="0.25">
      <c r="B20" s="15"/>
      <c r="C20" s="6"/>
      <c r="D20" s="6"/>
      <c r="E20" s="6"/>
      <c r="F20" s="6"/>
      <c r="G20" s="6"/>
      <c r="H20" s="6"/>
      <c r="I20" s="6"/>
      <c r="J20" s="6"/>
      <c r="K20" s="6"/>
      <c r="L20" s="6"/>
      <c r="M20" s="16"/>
    </row>
    <row r="21" spans="2:14" ht="18.75" x14ac:dyDescent="0.3">
      <c r="B21" s="15"/>
      <c r="C21" s="60" t="s">
        <v>8</v>
      </c>
      <c r="D21" s="61"/>
      <c r="E21" s="62"/>
      <c r="F21" s="91"/>
      <c r="G21" s="60" t="s">
        <v>8</v>
      </c>
      <c r="H21" s="61"/>
      <c r="I21" s="61"/>
      <c r="J21" s="61"/>
      <c r="K21" s="61"/>
      <c r="L21" s="62"/>
      <c r="M21" s="16"/>
    </row>
    <row r="22" spans="2:14" ht="18.75" x14ac:dyDescent="0.3">
      <c r="B22" s="15"/>
      <c r="C22" s="22"/>
      <c r="D22" s="24" t="s">
        <v>18</v>
      </c>
      <c r="E22" s="24" t="s">
        <v>19</v>
      </c>
      <c r="F22" s="92"/>
      <c r="G22" s="22"/>
      <c r="H22" s="24" t="s">
        <v>18</v>
      </c>
      <c r="I22" s="24" t="s">
        <v>19</v>
      </c>
      <c r="J22" s="22"/>
      <c r="K22" s="22"/>
      <c r="L22" s="94" t="str">
        <f>IF(K24=0,"No Profit",IF(K24&lt;=0,"You are in Loss, Add Fees","You are in Profit"))</f>
        <v>You are in Profit</v>
      </c>
      <c r="M22" s="16"/>
    </row>
    <row r="23" spans="2:14" x14ac:dyDescent="0.25">
      <c r="B23" s="15"/>
      <c r="C23" s="1" t="s">
        <v>17</v>
      </c>
      <c r="D23" s="2">
        <v>0.1</v>
      </c>
      <c r="E23" s="26">
        <v>0.1</v>
      </c>
      <c r="F23" s="93"/>
      <c r="G23" s="1" t="s">
        <v>2</v>
      </c>
      <c r="H23" s="89">
        <f>J18</f>
        <v>110</v>
      </c>
      <c r="I23" s="90"/>
      <c r="J23" s="1" t="s">
        <v>4</v>
      </c>
      <c r="K23" s="3">
        <f>I16</f>
        <v>10</v>
      </c>
      <c r="L23" s="95"/>
      <c r="M23" s="16"/>
    </row>
    <row r="24" spans="2:14" x14ac:dyDescent="0.25">
      <c r="B24" s="15"/>
      <c r="C24" s="80"/>
      <c r="D24" s="81"/>
      <c r="E24" s="81"/>
      <c r="F24" s="82"/>
      <c r="G24" s="1" t="s">
        <v>14</v>
      </c>
      <c r="H24" s="9">
        <f>H23*D23</f>
        <v>11</v>
      </c>
      <c r="I24" s="3">
        <f>H23*E23</f>
        <v>11</v>
      </c>
      <c r="J24" s="74" t="s">
        <v>11</v>
      </c>
      <c r="K24" s="75">
        <f>(K23-I24)+H25</f>
        <v>9</v>
      </c>
      <c r="L24" s="95"/>
      <c r="M24" s="16"/>
    </row>
    <row r="25" spans="2:14" x14ac:dyDescent="0.25">
      <c r="B25" s="15"/>
      <c r="C25" s="83"/>
      <c r="D25" s="84"/>
      <c r="E25" s="84"/>
      <c r="F25" s="85"/>
      <c r="G25" s="1" t="s">
        <v>5</v>
      </c>
      <c r="H25" s="103">
        <v>10</v>
      </c>
      <c r="I25" s="104"/>
      <c r="J25" s="74"/>
      <c r="K25" s="75"/>
      <c r="L25" s="96"/>
      <c r="M25" s="16"/>
    </row>
    <row r="26" spans="2:14" x14ac:dyDescent="0.25">
      <c r="B26" s="15"/>
      <c r="C26" s="86"/>
      <c r="D26" s="87"/>
      <c r="E26" s="87"/>
      <c r="F26" s="88"/>
      <c r="G26" s="63" t="s">
        <v>7</v>
      </c>
      <c r="H26" s="64"/>
      <c r="I26" s="65"/>
      <c r="J26" s="66">
        <f>SUM(H23+H25)</f>
        <v>120</v>
      </c>
      <c r="K26" s="67"/>
      <c r="L26" s="68"/>
      <c r="M26" s="16"/>
    </row>
    <row r="27" spans="2:14" x14ac:dyDescent="0.25">
      <c r="B27" s="15"/>
      <c r="C27" s="6"/>
      <c r="D27" s="6"/>
      <c r="E27" s="6"/>
      <c r="F27" s="6"/>
      <c r="G27" s="6"/>
      <c r="H27" s="6"/>
      <c r="I27" s="6"/>
      <c r="J27" s="6"/>
      <c r="K27" s="6"/>
      <c r="L27" s="6"/>
      <c r="M27" s="16"/>
    </row>
    <row r="28" spans="2:14" x14ac:dyDescent="0.25">
      <c r="B28" s="15"/>
      <c r="C28" s="6"/>
      <c r="D28" s="6"/>
      <c r="E28" s="6"/>
      <c r="F28" s="6"/>
      <c r="G28" s="6"/>
      <c r="H28" s="6"/>
      <c r="I28" s="6"/>
      <c r="J28" s="6"/>
      <c r="K28" s="6"/>
      <c r="L28" s="6"/>
      <c r="M28" s="16"/>
    </row>
    <row r="29" spans="2:14" ht="18.75" x14ac:dyDescent="0.3">
      <c r="B29" s="15"/>
      <c r="C29" s="60" t="s">
        <v>9</v>
      </c>
      <c r="D29" s="61"/>
      <c r="E29" s="62"/>
      <c r="F29" s="4"/>
      <c r="G29" s="60" t="s">
        <v>9</v>
      </c>
      <c r="H29" s="61"/>
      <c r="I29" s="61"/>
      <c r="J29" s="61"/>
      <c r="K29" s="61"/>
      <c r="L29" s="62"/>
      <c r="M29" s="16"/>
    </row>
    <row r="30" spans="2:14" x14ac:dyDescent="0.25">
      <c r="B30" s="15"/>
      <c r="C30" s="105"/>
      <c r="D30" s="106"/>
      <c r="E30" s="106"/>
      <c r="F30" s="107"/>
      <c r="G30" s="1" t="s">
        <v>2</v>
      </c>
      <c r="H30" s="89">
        <f>J26</f>
        <v>120</v>
      </c>
      <c r="I30" s="90"/>
      <c r="J30" s="1" t="s">
        <v>4</v>
      </c>
      <c r="K30" s="3">
        <f>I24</f>
        <v>11</v>
      </c>
      <c r="L30" s="94" t="str">
        <f>IF(K31=0,"No Profit",IF(K31&lt;=0,"You are in Loss, Add Fees","You are in Profit"))</f>
        <v>You are in Profit</v>
      </c>
      <c r="M30" s="16"/>
    </row>
    <row r="31" spans="2:14" ht="23.25" x14ac:dyDescent="0.25">
      <c r="B31" s="15"/>
      <c r="C31" s="108"/>
      <c r="D31" s="109"/>
      <c r="E31" s="109"/>
      <c r="F31" s="110"/>
      <c r="G31" s="21" t="s">
        <v>5</v>
      </c>
      <c r="H31" s="100">
        <v>10</v>
      </c>
      <c r="I31" s="101"/>
      <c r="J31" s="21" t="s">
        <v>11</v>
      </c>
      <c r="K31" s="25">
        <f>K30+H31</f>
        <v>21</v>
      </c>
      <c r="L31" s="95"/>
      <c r="M31" s="16"/>
    </row>
    <row r="32" spans="2:14" x14ac:dyDescent="0.25">
      <c r="B32" s="15"/>
      <c r="C32" s="111"/>
      <c r="D32" s="112"/>
      <c r="E32" s="112"/>
      <c r="F32" s="113"/>
      <c r="G32" s="97" t="s">
        <v>7</v>
      </c>
      <c r="H32" s="97"/>
      <c r="I32" s="23"/>
      <c r="J32" s="98">
        <f>H30+H31</f>
        <v>130</v>
      </c>
      <c r="K32" s="98"/>
      <c r="L32" s="96"/>
      <c r="M32" s="16"/>
    </row>
    <row r="33" spans="2:13" ht="16.5" thickBot="1" x14ac:dyDescent="0.3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20"/>
    </row>
  </sheetData>
  <mergeCells count="45">
    <mergeCell ref="C30:F32"/>
    <mergeCell ref="G18:I18"/>
    <mergeCell ref="G26:I26"/>
    <mergeCell ref="C24:F26"/>
    <mergeCell ref="H17:I17"/>
    <mergeCell ref="H25:I25"/>
    <mergeCell ref="G21:L21"/>
    <mergeCell ref="J24:J25"/>
    <mergeCell ref="K24:K25"/>
    <mergeCell ref="H23:I23"/>
    <mergeCell ref="Q5:R5"/>
    <mergeCell ref="Q10:R10"/>
    <mergeCell ref="K16:K17"/>
    <mergeCell ref="L14:L17"/>
    <mergeCell ref="L22:L25"/>
    <mergeCell ref="G13:L13"/>
    <mergeCell ref="C16:F18"/>
    <mergeCell ref="H15:I15"/>
    <mergeCell ref="F13:F15"/>
    <mergeCell ref="L30:L32"/>
    <mergeCell ref="G32:H32"/>
    <mergeCell ref="J32:K32"/>
    <mergeCell ref="J16:J17"/>
    <mergeCell ref="G29:L29"/>
    <mergeCell ref="J18:L18"/>
    <mergeCell ref="F21:F23"/>
    <mergeCell ref="J26:L26"/>
    <mergeCell ref="H31:I31"/>
    <mergeCell ref="C13:E13"/>
    <mergeCell ref="C21:E21"/>
    <mergeCell ref="C29:E29"/>
    <mergeCell ref="H30:I30"/>
    <mergeCell ref="D1:J1"/>
    <mergeCell ref="J7:L7"/>
    <mergeCell ref="G10:I10"/>
    <mergeCell ref="J10:L10"/>
    <mergeCell ref="G3:G4"/>
    <mergeCell ref="H3:H4"/>
    <mergeCell ref="C3:D3"/>
    <mergeCell ref="J8:J9"/>
    <mergeCell ref="K8:K9"/>
    <mergeCell ref="C6:E6"/>
    <mergeCell ref="L8:L9"/>
    <mergeCell ref="G6:L6"/>
    <mergeCell ref="C10:E10"/>
  </mergeCells>
  <conditionalFormatting sqref="L14 L22 L30">
    <cfRule type="containsText" dxfId="65" priority="38" operator="containsText" text="Loss">
      <formula>NOT(ISERROR(SEARCH("Loss",L14)))</formula>
    </cfRule>
    <cfRule type="containsText" dxfId="64" priority="39" operator="containsText" text="No">
      <formula>NOT(ISERROR(SEARCH("No",L14)))</formula>
    </cfRule>
    <cfRule type="containsText" dxfId="63" priority="40" operator="containsText" text="Profit">
      <formula>NOT(ISERROR(SEARCH("Profit",L14)))</formula>
    </cfRule>
  </conditionalFormatting>
  <conditionalFormatting sqref="L8:L9">
    <cfRule type="iconSet" priority="28">
      <iconSet>
        <cfvo type="percent" val="0"/>
        <cfvo type="percent" val="33"/>
        <cfvo type="percent" val="67"/>
      </iconSet>
    </cfRule>
    <cfRule type="containsText" dxfId="62" priority="29" operator="containsText" text="Loss">
      <formula>NOT(ISERROR(SEARCH("Loss",L8)))</formula>
    </cfRule>
    <cfRule type="containsText" dxfId="61" priority="30" operator="containsText" text="No">
      <formula>NOT(ISERROR(SEARCH("No",L8)))</formula>
    </cfRule>
    <cfRule type="containsText" dxfId="60" priority="31" operator="containsText" text="Profit">
      <formula>NOT(ISERROR(SEARCH("Profit",L8)))</formula>
    </cfRule>
  </conditionalFormatting>
  <conditionalFormatting sqref="E8">
    <cfRule type="cellIs" dxfId="59" priority="22" operator="notEqual">
      <formula>$D$8</formula>
    </cfRule>
    <cfRule type="cellIs" dxfId="58" priority="23" operator="equal">
      <formula>$D$8</formula>
    </cfRule>
  </conditionalFormatting>
  <conditionalFormatting sqref="E9">
    <cfRule type="cellIs" dxfId="57" priority="17" operator="notEqual">
      <formula>$D$8</formula>
    </cfRule>
    <cfRule type="cellIs" dxfId="56" priority="18" operator="equal">
      <formula>$D$8</formula>
    </cfRule>
  </conditionalFormatting>
  <conditionalFormatting sqref="E15">
    <cfRule type="cellIs" dxfId="55" priority="15" operator="notEqual">
      <formula>$D$8</formula>
    </cfRule>
    <cfRule type="cellIs" dxfId="54" priority="16" operator="equal">
      <formula>$D$8</formula>
    </cfRule>
  </conditionalFormatting>
  <conditionalFormatting sqref="E23">
    <cfRule type="cellIs" dxfId="53" priority="13" operator="notEqual">
      <formula>$D$8</formula>
    </cfRule>
    <cfRule type="cellIs" dxfId="52" priority="14" operator="equal">
      <formula>$D$8</formula>
    </cfRule>
  </conditionalFormatting>
  <conditionalFormatting sqref="I8">
    <cfRule type="cellIs" dxfId="51" priority="11" operator="notEqual">
      <formula>$H$8</formula>
    </cfRule>
    <cfRule type="cellIs" dxfId="50" priority="12" operator="equal">
      <formula>$H$8</formula>
    </cfRule>
  </conditionalFormatting>
  <conditionalFormatting sqref="I9">
    <cfRule type="cellIs" dxfId="49" priority="5" operator="notEqual">
      <formula>$H$9</formula>
    </cfRule>
    <cfRule type="cellIs" dxfId="48" priority="6" operator="equal">
      <formula>$H$9</formula>
    </cfRule>
  </conditionalFormatting>
  <conditionalFormatting sqref="I16">
    <cfRule type="cellIs" dxfId="47" priority="3" operator="notEqual">
      <formula>$H$16</formula>
    </cfRule>
    <cfRule type="cellIs" dxfId="46" priority="4" operator="equal">
      <formula>$H$16</formula>
    </cfRule>
  </conditionalFormatting>
  <conditionalFormatting sqref="I24">
    <cfRule type="cellIs" dxfId="45" priority="1" operator="notEqual">
      <formula>$H$24</formula>
    </cfRule>
    <cfRule type="cellIs" dxfId="44" priority="2" operator="equal">
      <formula>$H$24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9</xdr:col>
                <xdr:colOff>228600</xdr:colOff>
                <xdr:row>2</xdr:row>
                <xdr:rowOff>9525</xdr:rowOff>
              </from>
              <to>
                <xdr:col>10</xdr:col>
                <xdr:colOff>542925</xdr:colOff>
                <xdr:row>4</xdr:row>
                <xdr:rowOff>28575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3EAF68E1-8DCE-4F21-9527-A09E4B776E7E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Flags" iconId="0"/>
              <x14:cfIcon iconSet="NoIcons" iconId="0"/>
              <x14:cfIcon iconSet="3Flags" iconId="2"/>
            </x14:iconSet>
          </x14:cfRule>
          <xm:sqref>F8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44"/>
  <sheetViews>
    <sheetView zoomScaleNormal="100" workbookViewId="0">
      <selection activeCell="F4" sqref="F4"/>
    </sheetView>
  </sheetViews>
  <sheetFormatPr defaultColWidth="8.5703125" defaultRowHeight="15.75" x14ac:dyDescent="0.25"/>
  <cols>
    <col min="1" max="1" width="8.42578125" style="5" customWidth="1"/>
    <col min="2" max="2" width="8.28515625" style="5" customWidth="1"/>
    <col min="3" max="3" width="30.140625" style="5" bestFit="1" customWidth="1"/>
    <col min="4" max="4" width="14.28515625" style="5" bestFit="1" customWidth="1"/>
    <col min="5" max="5" width="10.7109375" style="5" bestFit="1" customWidth="1"/>
    <col min="6" max="6" width="6" style="5" bestFit="1" customWidth="1"/>
    <col min="7" max="7" width="29" style="5" bestFit="1" customWidth="1"/>
    <col min="8" max="8" width="18.7109375" style="5" bestFit="1" customWidth="1"/>
    <col min="9" max="9" width="11.28515625" style="5" bestFit="1" customWidth="1"/>
    <col min="10" max="10" width="22.5703125" style="5" bestFit="1" customWidth="1"/>
    <col min="11" max="11" width="16.85546875" style="5" bestFit="1" customWidth="1"/>
    <col min="12" max="12" width="17.28515625" style="5" bestFit="1" customWidth="1"/>
    <col min="13" max="13" width="8.28515625" style="5" customWidth="1"/>
    <col min="14" max="14" width="8.42578125" style="5" customWidth="1"/>
    <col min="15" max="16" width="8.5703125" style="5"/>
    <col min="17" max="17" width="20.85546875" style="5" bestFit="1" customWidth="1"/>
    <col min="18" max="18" width="12.42578125" style="5" bestFit="1" customWidth="1"/>
    <col min="19" max="16384" width="8.5703125" style="5"/>
  </cols>
  <sheetData>
    <row r="1" spans="2:18" ht="27" thickBot="1" x14ac:dyDescent="0.45">
      <c r="D1" s="59" t="s">
        <v>25</v>
      </c>
      <c r="E1" s="59"/>
      <c r="F1" s="59"/>
      <c r="G1" s="59"/>
      <c r="H1" s="59"/>
      <c r="I1" s="59"/>
      <c r="J1" s="59"/>
    </row>
    <row r="2" spans="2:18" ht="16.5" thickBot="1" x14ac:dyDescent="0.3"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4"/>
    </row>
    <row r="3" spans="2:18" ht="18.75" x14ac:dyDescent="0.3">
      <c r="B3" s="15"/>
      <c r="C3" s="73" t="s">
        <v>3</v>
      </c>
      <c r="D3" s="73"/>
      <c r="E3" s="6"/>
      <c r="F3" s="6"/>
      <c r="G3" s="69" t="s">
        <v>7</v>
      </c>
      <c r="H3" s="71">
        <f>J43</f>
        <v>102000</v>
      </c>
      <c r="I3" s="6"/>
      <c r="J3" s="6"/>
      <c r="K3" s="6"/>
      <c r="L3" s="6"/>
      <c r="M3" s="16"/>
    </row>
    <row r="4" spans="2:18" ht="16.5" thickBot="1" x14ac:dyDescent="0.3">
      <c r="B4" s="15"/>
      <c r="C4" s="11" t="s">
        <v>26</v>
      </c>
      <c r="D4" s="33">
        <v>1000000</v>
      </c>
      <c r="E4" s="6"/>
      <c r="F4" s="6"/>
      <c r="G4" s="70"/>
      <c r="H4" s="72"/>
      <c r="I4" s="6"/>
      <c r="J4" s="6"/>
      <c r="K4" s="17"/>
      <c r="L4" s="6"/>
      <c r="M4" s="16"/>
    </row>
    <row r="5" spans="2:18" ht="16.5" thickBot="1" x14ac:dyDescent="0.3">
      <c r="B5" s="15"/>
      <c r="C5" s="6"/>
      <c r="D5" s="6"/>
      <c r="E5" s="6"/>
      <c r="F5" s="6"/>
      <c r="G5" s="6"/>
      <c r="H5" s="6"/>
      <c r="I5" s="6"/>
      <c r="J5" s="6"/>
      <c r="K5" s="6"/>
      <c r="L5" s="6"/>
      <c r="M5" s="16"/>
      <c r="Q5" s="99" t="s">
        <v>20</v>
      </c>
      <c r="R5" s="99"/>
    </row>
    <row r="6" spans="2:18" ht="19.5" thickBot="1" x14ac:dyDescent="0.35">
      <c r="B6" s="15"/>
      <c r="C6" s="140" t="s">
        <v>0</v>
      </c>
      <c r="D6" s="141"/>
      <c r="E6" s="141"/>
      <c r="F6" s="141"/>
      <c r="G6" s="141"/>
      <c r="H6" s="141"/>
      <c r="I6" s="141"/>
      <c r="J6" s="141"/>
      <c r="K6" s="141"/>
      <c r="L6" s="142"/>
      <c r="M6" s="16"/>
      <c r="Q6" s="4" t="s">
        <v>21</v>
      </c>
      <c r="R6" s="31">
        <f>K9</f>
        <v>90000</v>
      </c>
    </row>
    <row r="7" spans="2:18" ht="19.5" thickBot="1" x14ac:dyDescent="0.35">
      <c r="B7" s="15"/>
      <c r="C7" s="117" t="s">
        <v>27</v>
      </c>
      <c r="D7" s="135">
        <f>D4*20%</f>
        <v>200000</v>
      </c>
      <c r="E7" s="136"/>
      <c r="F7" s="47"/>
      <c r="G7" s="42"/>
      <c r="H7" s="42"/>
      <c r="I7" s="42"/>
      <c r="J7" s="42"/>
      <c r="K7" s="42"/>
      <c r="L7" s="48"/>
      <c r="M7" s="16"/>
      <c r="Q7" s="4"/>
      <c r="R7" s="31"/>
    </row>
    <row r="8" spans="2:18" ht="18.75" x14ac:dyDescent="0.3">
      <c r="B8" s="15"/>
      <c r="C8" s="118"/>
      <c r="D8" s="24" t="s">
        <v>18</v>
      </c>
      <c r="E8" s="37" t="s">
        <v>19</v>
      </c>
      <c r="F8" s="47"/>
      <c r="G8" s="43"/>
      <c r="H8" s="44" t="s">
        <v>18</v>
      </c>
      <c r="I8" s="52" t="s">
        <v>19</v>
      </c>
      <c r="J8" s="119"/>
      <c r="K8" s="119"/>
      <c r="L8" s="120"/>
      <c r="M8" s="16"/>
      <c r="Q8" s="4" t="s">
        <v>22</v>
      </c>
      <c r="R8" s="31">
        <f>K27</f>
        <v>1000</v>
      </c>
    </row>
    <row r="9" spans="2:18" x14ac:dyDescent="0.25">
      <c r="B9" s="15"/>
      <c r="C9" s="36" t="s">
        <v>1</v>
      </c>
      <c r="D9" s="2">
        <v>0.1</v>
      </c>
      <c r="E9" s="38">
        <v>0.1</v>
      </c>
      <c r="F9" s="49"/>
      <c r="G9" s="36" t="s">
        <v>2</v>
      </c>
      <c r="H9" s="3">
        <f>D7*D9</f>
        <v>20000</v>
      </c>
      <c r="I9" s="53">
        <f>D7*E9</f>
        <v>20000</v>
      </c>
      <c r="J9" s="119" t="s">
        <v>6</v>
      </c>
      <c r="K9" s="119">
        <f>(I9-I10)+(I14-I15)+(I19-I20)</f>
        <v>90000</v>
      </c>
      <c r="L9" s="120" t="str">
        <f>IF(K9=0,"No Profit",IF(K9&lt;=0,"You are in Loss, Add Fees","You are in Profit"))</f>
        <v>You are in Profit</v>
      </c>
      <c r="M9" s="16"/>
      <c r="Q9" s="4" t="s">
        <v>23</v>
      </c>
      <c r="R9" s="31">
        <f>K35</f>
        <v>900</v>
      </c>
    </row>
    <row r="10" spans="2:18" ht="16.5" thickBot="1" x14ac:dyDescent="0.3">
      <c r="B10" s="15"/>
      <c r="C10" s="39" t="s">
        <v>16</v>
      </c>
      <c r="D10" s="40">
        <v>0.1</v>
      </c>
      <c r="E10" s="41">
        <v>0.1</v>
      </c>
      <c r="F10" s="47"/>
      <c r="G10" s="39" t="s">
        <v>12</v>
      </c>
      <c r="H10" s="54">
        <f>H9*D10</f>
        <v>2000</v>
      </c>
      <c r="I10" s="55">
        <f>I9*E10</f>
        <v>2000</v>
      </c>
      <c r="J10" s="119"/>
      <c r="K10" s="119"/>
      <c r="L10" s="120"/>
      <c r="M10" s="16"/>
      <c r="Q10" s="4" t="s">
        <v>24</v>
      </c>
      <c r="R10" s="31">
        <f>K42</f>
        <v>10100</v>
      </c>
    </row>
    <row r="11" spans="2:18" ht="16.5" thickBot="1" x14ac:dyDescent="0.3">
      <c r="B11" s="15"/>
      <c r="C11" s="114"/>
      <c r="D11" s="115"/>
      <c r="E11" s="139"/>
      <c r="F11" s="50"/>
      <c r="G11" s="114"/>
      <c r="H11" s="115"/>
      <c r="I11" s="115"/>
      <c r="J11" s="115"/>
      <c r="K11" s="115"/>
      <c r="L11" s="116"/>
      <c r="M11" s="16"/>
      <c r="Q11" s="4"/>
      <c r="R11" s="31"/>
    </row>
    <row r="12" spans="2:18" ht="19.5" thickBot="1" x14ac:dyDescent="0.35">
      <c r="B12" s="15"/>
      <c r="C12" s="132" t="s">
        <v>28</v>
      </c>
      <c r="D12" s="137">
        <f>D4*30%</f>
        <v>300000</v>
      </c>
      <c r="E12" s="138"/>
      <c r="F12" s="47"/>
      <c r="G12" s="114"/>
      <c r="H12" s="115"/>
      <c r="I12" s="115"/>
      <c r="J12" s="115"/>
      <c r="K12" s="115"/>
      <c r="L12" s="116"/>
      <c r="M12" s="16"/>
      <c r="Q12" s="32" t="s">
        <v>7</v>
      </c>
      <c r="R12" s="31">
        <f>SUM(R6:R10)</f>
        <v>102000</v>
      </c>
    </row>
    <row r="13" spans="2:18" ht="19.5" thickBot="1" x14ac:dyDescent="0.35">
      <c r="B13" s="15"/>
      <c r="C13" s="118"/>
      <c r="D13" s="24" t="s">
        <v>18</v>
      </c>
      <c r="E13" s="37" t="s">
        <v>19</v>
      </c>
      <c r="F13" s="47"/>
      <c r="G13" s="43"/>
      <c r="H13" s="44" t="s">
        <v>18</v>
      </c>
      <c r="I13" s="52" t="s">
        <v>19</v>
      </c>
      <c r="J13" s="45"/>
      <c r="K13" s="45"/>
      <c r="L13" s="46"/>
      <c r="M13" s="16"/>
    </row>
    <row r="14" spans="2:18" x14ac:dyDescent="0.25">
      <c r="B14" s="15"/>
      <c r="C14" s="36" t="s">
        <v>1</v>
      </c>
      <c r="D14" s="2">
        <v>0.1</v>
      </c>
      <c r="E14" s="38">
        <v>0.1</v>
      </c>
      <c r="F14" s="49"/>
      <c r="G14" s="36" t="s">
        <v>2</v>
      </c>
      <c r="H14" s="3">
        <f>D14*D12</f>
        <v>30000</v>
      </c>
      <c r="I14" s="53">
        <f>D12*E14</f>
        <v>30000</v>
      </c>
      <c r="J14" s="128" t="s">
        <v>6</v>
      </c>
      <c r="K14" s="130">
        <f>(I9-I10)+(I14-I15)+(I19-I20)</f>
        <v>90000</v>
      </c>
      <c r="L14" s="133" t="str">
        <f>IF(K14=0,"No Profit",IF(K14&lt;=0,"You are in Loss, Add Fees","You are in Profit"))</f>
        <v>You are in Profit</v>
      </c>
      <c r="M14" s="16"/>
    </row>
    <row r="15" spans="2:18" ht="16.5" thickBot="1" x14ac:dyDescent="0.3">
      <c r="B15" s="15"/>
      <c r="C15" s="39" t="s">
        <v>16</v>
      </c>
      <c r="D15" s="40">
        <v>0.1</v>
      </c>
      <c r="E15" s="41">
        <v>0.1</v>
      </c>
      <c r="F15" s="47"/>
      <c r="G15" s="39" t="s">
        <v>12</v>
      </c>
      <c r="H15" s="54">
        <f>H14*D15</f>
        <v>3000</v>
      </c>
      <c r="I15" s="55">
        <f>I14*E15</f>
        <v>3000</v>
      </c>
      <c r="J15" s="129"/>
      <c r="K15" s="131"/>
      <c r="L15" s="134"/>
      <c r="M15" s="16"/>
    </row>
    <row r="16" spans="2:18" ht="16.5" thickBot="1" x14ac:dyDescent="0.3">
      <c r="B16" s="15"/>
      <c r="C16" s="114"/>
      <c r="D16" s="115"/>
      <c r="E16" s="139"/>
      <c r="F16" s="50"/>
      <c r="G16" s="114"/>
      <c r="H16" s="115"/>
      <c r="I16" s="115"/>
      <c r="J16" s="115"/>
      <c r="K16" s="115"/>
      <c r="L16" s="116"/>
      <c r="M16" s="16"/>
    </row>
    <row r="17" spans="2:15" ht="19.5" thickBot="1" x14ac:dyDescent="0.35">
      <c r="B17" s="15"/>
      <c r="C17" s="132" t="s">
        <v>29</v>
      </c>
      <c r="D17" s="137">
        <f>D4*50%</f>
        <v>500000</v>
      </c>
      <c r="E17" s="138"/>
      <c r="F17" s="47"/>
      <c r="G17" s="114"/>
      <c r="H17" s="115"/>
      <c r="I17" s="115"/>
      <c r="J17" s="115"/>
      <c r="K17" s="115"/>
      <c r="L17" s="116"/>
      <c r="M17" s="16"/>
    </row>
    <row r="18" spans="2:15" ht="18.75" x14ac:dyDescent="0.3">
      <c r="B18" s="15"/>
      <c r="C18" s="118"/>
      <c r="D18" s="24" t="s">
        <v>18</v>
      </c>
      <c r="E18" s="37" t="s">
        <v>19</v>
      </c>
      <c r="F18" s="47"/>
      <c r="G18" s="43"/>
      <c r="H18" s="44" t="s">
        <v>18</v>
      </c>
      <c r="I18" s="52" t="s">
        <v>19</v>
      </c>
      <c r="J18" s="119"/>
      <c r="K18" s="119"/>
      <c r="L18" s="120"/>
      <c r="M18" s="16"/>
    </row>
    <row r="19" spans="2:15" x14ac:dyDescent="0.25">
      <c r="B19" s="15"/>
      <c r="C19" s="36" t="s">
        <v>1</v>
      </c>
      <c r="D19" s="2">
        <v>0.1</v>
      </c>
      <c r="E19" s="38">
        <v>0.1</v>
      </c>
      <c r="F19" s="49"/>
      <c r="G19" s="36" t="s">
        <v>2</v>
      </c>
      <c r="H19" s="3">
        <f>D17*D19</f>
        <v>50000</v>
      </c>
      <c r="I19" s="53">
        <f>D17*E19</f>
        <v>50000</v>
      </c>
      <c r="J19" s="119"/>
      <c r="K19" s="119"/>
      <c r="L19" s="120"/>
      <c r="M19" s="16"/>
    </row>
    <row r="20" spans="2:15" ht="16.5" thickBot="1" x14ac:dyDescent="0.3">
      <c r="B20" s="15"/>
      <c r="C20" s="39" t="s">
        <v>16</v>
      </c>
      <c r="D20" s="40">
        <v>0.1</v>
      </c>
      <c r="E20" s="41">
        <v>0.1</v>
      </c>
      <c r="F20" s="47"/>
      <c r="G20" s="56" t="s">
        <v>12</v>
      </c>
      <c r="H20" s="57">
        <f>H19*D20</f>
        <v>5000</v>
      </c>
      <c r="I20" s="58">
        <f>I19*E20</f>
        <v>5000</v>
      </c>
      <c r="J20" s="119"/>
      <c r="K20" s="119"/>
      <c r="L20" s="120"/>
      <c r="M20" s="16"/>
    </row>
    <row r="21" spans="2:15" ht="16.5" thickBot="1" x14ac:dyDescent="0.3">
      <c r="B21" s="15"/>
      <c r="C21" s="121"/>
      <c r="D21" s="122"/>
      <c r="E21" s="123"/>
      <c r="F21" s="51"/>
      <c r="G21" s="124" t="s">
        <v>7</v>
      </c>
      <c r="H21" s="125"/>
      <c r="I21" s="125"/>
      <c r="J21" s="126">
        <f>I9+I14+I19</f>
        <v>100000</v>
      </c>
      <c r="K21" s="126"/>
      <c r="L21" s="127"/>
      <c r="M21" s="16"/>
    </row>
    <row r="22" spans="2:15" x14ac:dyDescent="0.25">
      <c r="B22" s="15"/>
      <c r="C22" s="6"/>
      <c r="D22" s="6"/>
      <c r="E22" s="6"/>
      <c r="F22" s="6"/>
      <c r="G22" s="6"/>
      <c r="H22" s="6"/>
      <c r="I22" s="6"/>
      <c r="J22" s="6"/>
      <c r="K22" s="6"/>
      <c r="L22" s="6"/>
      <c r="M22" s="16"/>
    </row>
    <row r="23" spans="2:15" x14ac:dyDescent="0.25">
      <c r="B23" s="15"/>
      <c r="C23" s="6"/>
      <c r="D23" s="6"/>
      <c r="E23" s="6"/>
      <c r="F23" s="6"/>
      <c r="G23" s="6"/>
      <c r="H23" s="6"/>
      <c r="I23" s="6"/>
      <c r="J23" s="6"/>
      <c r="K23" s="6"/>
      <c r="L23" s="6"/>
      <c r="M23" s="16"/>
    </row>
    <row r="24" spans="2:15" ht="18.75" x14ac:dyDescent="0.3">
      <c r="B24" s="15"/>
      <c r="C24" s="60" t="s">
        <v>10</v>
      </c>
      <c r="D24" s="61"/>
      <c r="E24" s="62"/>
      <c r="F24" s="91"/>
      <c r="G24" s="60" t="s">
        <v>10</v>
      </c>
      <c r="H24" s="61"/>
      <c r="I24" s="61"/>
      <c r="J24" s="61"/>
      <c r="K24" s="61"/>
      <c r="L24" s="62"/>
      <c r="M24" s="16"/>
      <c r="O24" s="8"/>
    </row>
    <row r="25" spans="2:15" ht="18.75" x14ac:dyDescent="0.3">
      <c r="B25" s="15"/>
      <c r="C25" s="22"/>
      <c r="D25" s="24" t="s">
        <v>18</v>
      </c>
      <c r="E25" s="24" t="s">
        <v>19</v>
      </c>
      <c r="F25" s="92"/>
      <c r="G25" s="22"/>
      <c r="H25" s="24" t="s">
        <v>18</v>
      </c>
      <c r="I25" s="24" t="s">
        <v>19</v>
      </c>
      <c r="J25" s="22"/>
      <c r="K25" s="22"/>
      <c r="L25" s="4"/>
      <c r="M25" s="16"/>
    </row>
    <row r="26" spans="2:15" x14ac:dyDescent="0.25">
      <c r="B26" s="15"/>
      <c r="C26" s="1" t="s">
        <v>15</v>
      </c>
      <c r="D26" s="2">
        <v>0.1</v>
      </c>
      <c r="E26" s="26">
        <v>0.1</v>
      </c>
      <c r="F26" s="93"/>
      <c r="G26" s="1" t="s">
        <v>2</v>
      </c>
      <c r="H26" s="89">
        <f>J21</f>
        <v>100000</v>
      </c>
      <c r="I26" s="90"/>
      <c r="J26" s="1" t="s">
        <v>4</v>
      </c>
      <c r="K26" s="3">
        <f>I10+I15+I20</f>
        <v>10000</v>
      </c>
      <c r="L26" s="4"/>
      <c r="M26" s="16"/>
    </row>
    <row r="27" spans="2:15" x14ac:dyDescent="0.25">
      <c r="B27" s="15"/>
      <c r="C27" s="80"/>
      <c r="D27" s="81"/>
      <c r="E27" s="81"/>
      <c r="F27" s="82"/>
      <c r="G27" s="1" t="s">
        <v>13</v>
      </c>
      <c r="H27" s="9">
        <f>H26*D26</f>
        <v>10000</v>
      </c>
      <c r="I27" s="3">
        <f>H26*E26</f>
        <v>10000</v>
      </c>
      <c r="J27" s="74" t="s">
        <v>11</v>
      </c>
      <c r="K27" s="75">
        <f>(K26-I27)+H28</f>
        <v>1000</v>
      </c>
      <c r="L27" s="76" t="str">
        <f>IF(K27=0,"No Profit",IF(K27&lt;=0,"You are in Loss, Add Fees","You are in Profit"))</f>
        <v>You are in Profit</v>
      </c>
      <c r="M27" s="16"/>
    </row>
    <row r="28" spans="2:15" x14ac:dyDescent="0.25">
      <c r="B28" s="15"/>
      <c r="C28" s="83"/>
      <c r="D28" s="84"/>
      <c r="E28" s="84"/>
      <c r="F28" s="85"/>
      <c r="G28" s="1" t="s">
        <v>5</v>
      </c>
      <c r="H28" s="102">
        <v>1000</v>
      </c>
      <c r="I28" s="102"/>
      <c r="J28" s="74"/>
      <c r="K28" s="75"/>
      <c r="L28" s="76"/>
      <c r="M28" s="16"/>
    </row>
    <row r="29" spans="2:15" x14ac:dyDescent="0.25">
      <c r="B29" s="15"/>
      <c r="C29" s="86"/>
      <c r="D29" s="87"/>
      <c r="E29" s="87"/>
      <c r="F29" s="88"/>
      <c r="G29" s="63" t="s">
        <v>7</v>
      </c>
      <c r="H29" s="64"/>
      <c r="I29" s="65"/>
      <c r="J29" s="66">
        <f>H26+H28</f>
        <v>101000</v>
      </c>
      <c r="K29" s="67"/>
      <c r="L29" s="68"/>
      <c r="M29" s="16"/>
      <c r="N29" s="7"/>
    </row>
    <row r="30" spans="2:15" x14ac:dyDescent="0.25">
      <c r="B30" s="15"/>
      <c r="C30" s="6"/>
      <c r="D30" s="6"/>
      <c r="E30" s="6"/>
      <c r="F30" s="6"/>
      <c r="G30" s="6"/>
      <c r="H30" s="6"/>
      <c r="I30" s="6"/>
      <c r="J30" s="6"/>
      <c r="K30" s="6"/>
      <c r="L30" s="6"/>
      <c r="M30" s="16"/>
    </row>
    <row r="31" spans="2:15" x14ac:dyDescent="0.25">
      <c r="B31" s="15"/>
      <c r="C31" s="6"/>
      <c r="D31" s="6"/>
      <c r="E31" s="6"/>
      <c r="F31" s="6"/>
      <c r="G31" s="6"/>
      <c r="H31" s="6"/>
      <c r="I31" s="6"/>
      <c r="J31" s="6"/>
      <c r="K31" s="6"/>
      <c r="L31" s="6"/>
      <c r="M31" s="16"/>
    </row>
    <row r="32" spans="2:15" ht="18.75" x14ac:dyDescent="0.3">
      <c r="B32" s="15"/>
      <c r="C32" s="60" t="s">
        <v>8</v>
      </c>
      <c r="D32" s="61"/>
      <c r="E32" s="62"/>
      <c r="F32" s="91"/>
      <c r="G32" s="60" t="s">
        <v>8</v>
      </c>
      <c r="H32" s="61"/>
      <c r="I32" s="61"/>
      <c r="J32" s="61"/>
      <c r="K32" s="61"/>
      <c r="L32" s="62"/>
      <c r="M32" s="16"/>
    </row>
    <row r="33" spans="2:13" ht="18.75" x14ac:dyDescent="0.3">
      <c r="B33" s="15"/>
      <c r="C33" s="22"/>
      <c r="D33" s="24" t="s">
        <v>18</v>
      </c>
      <c r="E33" s="24" t="s">
        <v>19</v>
      </c>
      <c r="F33" s="92"/>
      <c r="G33" s="22"/>
      <c r="H33" s="24" t="s">
        <v>18</v>
      </c>
      <c r="I33" s="24" t="s">
        <v>19</v>
      </c>
      <c r="J33" s="22"/>
      <c r="K33" s="22"/>
      <c r="L33" s="4"/>
      <c r="M33" s="16"/>
    </row>
    <row r="34" spans="2:13" x14ac:dyDescent="0.25">
      <c r="B34" s="15"/>
      <c r="C34" s="1" t="s">
        <v>17</v>
      </c>
      <c r="D34" s="2">
        <v>0.1</v>
      </c>
      <c r="E34" s="26">
        <v>0.1</v>
      </c>
      <c r="F34" s="93"/>
      <c r="G34" s="1" t="s">
        <v>2</v>
      </c>
      <c r="H34" s="89">
        <f>J29</f>
        <v>101000</v>
      </c>
      <c r="I34" s="90"/>
      <c r="J34" s="1" t="s">
        <v>4</v>
      </c>
      <c r="K34" s="3">
        <f>I27</f>
        <v>10000</v>
      </c>
      <c r="L34" s="4"/>
      <c r="M34" s="16"/>
    </row>
    <row r="35" spans="2:13" x14ac:dyDescent="0.25">
      <c r="B35" s="15"/>
      <c r="C35" s="80"/>
      <c r="D35" s="81"/>
      <c r="E35" s="81"/>
      <c r="F35" s="82"/>
      <c r="G35" s="1" t="s">
        <v>14</v>
      </c>
      <c r="H35" s="9">
        <f>H34*D34</f>
        <v>10100</v>
      </c>
      <c r="I35" s="3">
        <f>H34*E34</f>
        <v>10100</v>
      </c>
      <c r="J35" s="74" t="s">
        <v>11</v>
      </c>
      <c r="K35" s="75">
        <f>(K34-I35)+H36</f>
        <v>900</v>
      </c>
      <c r="L35" s="76" t="str">
        <f>IF(K35=0,"No Profit",IF(K35&lt;=0,"You are in Loss, Add Fees","You are in Profit"))</f>
        <v>You are in Profit</v>
      </c>
      <c r="M35" s="16"/>
    </row>
    <row r="36" spans="2:13" x14ac:dyDescent="0.25">
      <c r="B36" s="15"/>
      <c r="C36" s="83"/>
      <c r="D36" s="84"/>
      <c r="E36" s="84"/>
      <c r="F36" s="85"/>
      <c r="G36" s="1" t="s">
        <v>5</v>
      </c>
      <c r="H36" s="103">
        <v>1000</v>
      </c>
      <c r="I36" s="104"/>
      <c r="J36" s="74"/>
      <c r="K36" s="75"/>
      <c r="L36" s="76"/>
      <c r="M36" s="16"/>
    </row>
    <row r="37" spans="2:13" x14ac:dyDescent="0.25">
      <c r="B37" s="15"/>
      <c r="C37" s="86"/>
      <c r="D37" s="87"/>
      <c r="E37" s="87"/>
      <c r="F37" s="88"/>
      <c r="G37" s="63" t="s">
        <v>7</v>
      </c>
      <c r="H37" s="64"/>
      <c r="I37" s="65"/>
      <c r="J37" s="66">
        <f>SUM(H34+H36)</f>
        <v>102000</v>
      </c>
      <c r="K37" s="67"/>
      <c r="L37" s="68"/>
      <c r="M37" s="16"/>
    </row>
    <row r="38" spans="2:13" x14ac:dyDescent="0.25">
      <c r="B38" s="15"/>
      <c r="C38" s="6"/>
      <c r="D38" s="6"/>
      <c r="E38" s="6"/>
      <c r="F38" s="6"/>
      <c r="G38" s="6"/>
      <c r="H38" s="6"/>
      <c r="I38" s="6"/>
      <c r="J38" s="6"/>
      <c r="K38" s="6"/>
      <c r="L38" s="6"/>
      <c r="M38" s="16"/>
    </row>
    <row r="39" spans="2:13" x14ac:dyDescent="0.25">
      <c r="B39" s="15"/>
      <c r="C39" s="6"/>
      <c r="D39" s="6"/>
      <c r="E39" s="6"/>
      <c r="F39" s="6"/>
      <c r="G39" s="6"/>
      <c r="H39" s="6"/>
      <c r="I39" s="6"/>
      <c r="J39" s="6"/>
      <c r="K39" s="6"/>
      <c r="L39" s="6"/>
      <c r="M39" s="16"/>
    </row>
    <row r="40" spans="2:13" ht="18.75" x14ac:dyDescent="0.3">
      <c r="B40" s="15"/>
      <c r="C40" s="60" t="s">
        <v>9</v>
      </c>
      <c r="D40" s="61"/>
      <c r="E40" s="62"/>
      <c r="F40" s="4"/>
      <c r="G40" s="60" t="s">
        <v>9</v>
      </c>
      <c r="H40" s="61"/>
      <c r="I40" s="61"/>
      <c r="J40" s="61"/>
      <c r="K40" s="61"/>
      <c r="L40" s="62"/>
      <c r="M40" s="16"/>
    </row>
    <row r="41" spans="2:13" x14ac:dyDescent="0.25">
      <c r="B41" s="15"/>
      <c r="C41" s="105"/>
      <c r="D41" s="106"/>
      <c r="E41" s="106"/>
      <c r="F41" s="107"/>
      <c r="G41" s="1" t="s">
        <v>2</v>
      </c>
      <c r="H41" s="89">
        <f>J37</f>
        <v>102000</v>
      </c>
      <c r="I41" s="90"/>
      <c r="J41" s="1" t="s">
        <v>4</v>
      </c>
      <c r="K41" s="3">
        <f>I35</f>
        <v>10100</v>
      </c>
      <c r="L41" s="4"/>
      <c r="M41" s="16"/>
    </row>
    <row r="42" spans="2:13" ht="23.25" x14ac:dyDescent="0.25">
      <c r="B42" s="15"/>
      <c r="C42" s="108"/>
      <c r="D42" s="109"/>
      <c r="E42" s="109"/>
      <c r="F42" s="110"/>
      <c r="G42" s="21" t="s">
        <v>5</v>
      </c>
      <c r="H42" s="100"/>
      <c r="I42" s="101"/>
      <c r="J42" s="21" t="s">
        <v>11</v>
      </c>
      <c r="K42" s="34">
        <f>K41+H42</f>
        <v>10100</v>
      </c>
      <c r="L42" s="76" t="str">
        <f>IF(K42=0,"No Profit",IF(K42&lt;=0,"You are in Loss, Add Fees","You are in Profit"))</f>
        <v>You are in Profit</v>
      </c>
      <c r="M42" s="16"/>
    </row>
    <row r="43" spans="2:13" x14ac:dyDescent="0.25">
      <c r="B43" s="15"/>
      <c r="C43" s="111"/>
      <c r="D43" s="112"/>
      <c r="E43" s="112"/>
      <c r="F43" s="113"/>
      <c r="G43" s="97" t="s">
        <v>7</v>
      </c>
      <c r="H43" s="97"/>
      <c r="I43" s="35"/>
      <c r="J43" s="98">
        <f>H41+H42</f>
        <v>102000</v>
      </c>
      <c r="K43" s="98"/>
      <c r="L43" s="76"/>
      <c r="M43" s="16"/>
    </row>
    <row r="44" spans="2:13" ht="16.5" thickBot="1" x14ac:dyDescent="0.3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20"/>
    </row>
  </sheetData>
  <mergeCells count="54">
    <mergeCell ref="C6:L6"/>
    <mergeCell ref="D1:J1"/>
    <mergeCell ref="C3:D3"/>
    <mergeCell ref="G3:G4"/>
    <mergeCell ref="H3:H4"/>
    <mergeCell ref="Q5:R5"/>
    <mergeCell ref="C21:E21"/>
    <mergeCell ref="G21:I21"/>
    <mergeCell ref="J21:L21"/>
    <mergeCell ref="J14:J15"/>
    <mergeCell ref="K14:K15"/>
    <mergeCell ref="J8:L10"/>
    <mergeCell ref="C12:C13"/>
    <mergeCell ref="C17:C18"/>
    <mergeCell ref="L14:L15"/>
    <mergeCell ref="D7:E7"/>
    <mergeCell ref="D12:E12"/>
    <mergeCell ref="D17:E17"/>
    <mergeCell ref="C11:E11"/>
    <mergeCell ref="G11:L12"/>
    <mergeCell ref="C16:E16"/>
    <mergeCell ref="C24:E24"/>
    <mergeCell ref="F24:F26"/>
    <mergeCell ref="G24:L24"/>
    <mergeCell ref="H26:I26"/>
    <mergeCell ref="C27:F29"/>
    <mergeCell ref="J27:J28"/>
    <mergeCell ref="K27:K28"/>
    <mergeCell ref="L27:L28"/>
    <mergeCell ref="H28:I28"/>
    <mergeCell ref="G29:I29"/>
    <mergeCell ref="J29:L29"/>
    <mergeCell ref="C41:F43"/>
    <mergeCell ref="H41:I41"/>
    <mergeCell ref="H42:I42"/>
    <mergeCell ref="L42:L43"/>
    <mergeCell ref="G43:H43"/>
    <mergeCell ref="J43:K43"/>
    <mergeCell ref="G16:L17"/>
    <mergeCell ref="C7:C8"/>
    <mergeCell ref="J18:L20"/>
    <mergeCell ref="C40:E40"/>
    <mergeCell ref="G40:L40"/>
    <mergeCell ref="C32:E32"/>
    <mergeCell ref="F32:F34"/>
    <mergeCell ref="G32:L32"/>
    <mergeCell ref="H34:I34"/>
    <mergeCell ref="C35:F37"/>
    <mergeCell ref="J35:J36"/>
    <mergeCell ref="K35:K36"/>
    <mergeCell ref="L35:L36"/>
    <mergeCell ref="H36:I36"/>
    <mergeCell ref="G37:I37"/>
    <mergeCell ref="J37:L37"/>
  </mergeCells>
  <conditionalFormatting sqref="L27:L28">
    <cfRule type="containsText" dxfId="43" priority="60" operator="containsText" text="Loss">
      <formula>NOT(ISERROR(SEARCH("Loss",L27)))</formula>
    </cfRule>
    <cfRule type="containsText" dxfId="42" priority="61" operator="containsText" text="No">
      <formula>NOT(ISERROR(SEARCH("No",L27)))</formula>
    </cfRule>
    <cfRule type="containsText" dxfId="41" priority="62" operator="containsText" text="Profit">
      <formula>NOT(ISERROR(SEARCH("Profit",L27)))</formula>
    </cfRule>
  </conditionalFormatting>
  <conditionalFormatting sqref="L35:L36">
    <cfRule type="containsText" dxfId="40" priority="57" operator="containsText" text="Loss">
      <formula>NOT(ISERROR(SEARCH("Loss",L35)))</formula>
    </cfRule>
    <cfRule type="containsText" dxfId="39" priority="58" operator="containsText" text="No">
      <formula>NOT(ISERROR(SEARCH("No",L35)))</formula>
    </cfRule>
    <cfRule type="containsText" dxfId="38" priority="59" operator="containsText" text="Profit">
      <formula>NOT(ISERROR(SEARCH("Profit",L35)))</formula>
    </cfRule>
  </conditionalFormatting>
  <conditionalFormatting sqref="L42:L43">
    <cfRule type="containsText" dxfId="37" priority="54" operator="containsText" text="Loss">
      <formula>NOT(ISERROR(SEARCH("Loss",L42)))</formula>
    </cfRule>
    <cfRule type="containsText" dxfId="36" priority="55" operator="containsText" text="No">
      <formula>NOT(ISERROR(SEARCH("No",L42)))</formula>
    </cfRule>
    <cfRule type="containsText" dxfId="35" priority="56" operator="containsText" text="Profit">
      <formula>NOT(ISERROR(SEARCH("Profit",L42)))</formula>
    </cfRule>
  </conditionalFormatting>
  <conditionalFormatting sqref="E9">
    <cfRule type="cellIs" dxfId="34" priority="47" operator="notEqual">
      <formula>$D$9</formula>
    </cfRule>
    <cfRule type="cellIs" dxfId="33" priority="48" operator="equal">
      <formula>$D$9</formula>
    </cfRule>
  </conditionalFormatting>
  <conditionalFormatting sqref="E10">
    <cfRule type="cellIs" dxfId="32" priority="45" operator="notEqual">
      <formula>$D$9</formula>
    </cfRule>
    <cfRule type="cellIs" dxfId="31" priority="46" operator="equal">
      <formula>$D$9</formula>
    </cfRule>
  </conditionalFormatting>
  <conditionalFormatting sqref="E26">
    <cfRule type="cellIs" dxfId="30" priority="43" operator="notEqual">
      <formula>$D$9</formula>
    </cfRule>
    <cfRule type="cellIs" dxfId="29" priority="44" operator="equal">
      <formula>$D$9</formula>
    </cfRule>
  </conditionalFormatting>
  <conditionalFormatting sqref="E34">
    <cfRule type="cellIs" dxfId="28" priority="41" operator="notEqual">
      <formula>$D$9</formula>
    </cfRule>
    <cfRule type="cellIs" dxfId="27" priority="42" operator="equal">
      <formula>$D$9</formula>
    </cfRule>
  </conditionalFormatting>
  <conditionalFormatting sqref="I9">
    <cfRule type="cellIs" dxfId="26" priority="39" operator="notEqual">
      <formula>$H$9</formula>
    </cfRule>
    <cfRule type="cellIs" dxfId="25" priority="40" operator="equal">
      <formula>$H$9</formula>
    </cfRule>
  </conditionalFormatting>
  <conditionalFormatting sqref="I10">
    <cfRule type="cellIs" dxfId="24" priority="37" operator="notEqual">
      <formula>$H$10</formula>
    </cfRule>
    <cfRule type="cellIs" dxfId="23" priority="38" operator="equal">
      <formula>$H$10</formula>
    </cfRule>
  </conditionalFormatting>
  <conditionalFormatting sqref="I27">
    <cfRule type="cellIs" dxfId="22" priority="35" operator="notEqual">
      <formula>$H$27</formula>
    </cfRule>
    <cfRule type="cellIs" dxfId="21" priority="36" operator="equal">
      <formula>$H$27</formula>
    </cfRule>
  </conditionalFormatting>
  <conditionalFormatting sqref="I35">
    <cfRule type="cellIs" dxfId="20" priority="33" operator="notEqual">
      <formula>$H$35</formula>
    </cfRule>
    <cfRule type="cellIs" dxfId="19" priority="34" operator="equal">
      <formula>$H$35</formula>
    </cfRule>
  </conditionalFormatting>
  <conditionalFormatting sqref="I20">
    <cfRule type="cellIs" dxfId="18" priority="20" operator="notEqual">
      <formula>$H$20</formula>
    </cfRule>
    <cfRule type="cellIs" dxfId="17" priority="21" operator="equal">
      <formula>$H$20</formula>
    </cfRule>
  </conditionalFormatting>
  <conditionalFormatting sqref="E19">
    <cfRule type="cellIs" dxfId="16" priority="26" operator="notEqual">
      <formula>$D$9</formula>
    </cfRule>
    <cfRule type="cellIs" dxfId="15" priority="27" operator="equal">
      <formula>$D$9</formula>
    </cfRule>
  </conditionalFormatting>
  <conditionalFormatting sqref="E20">
    <cfRule type="cellIs" dxfId="14" priority="24" operator="notEqual">
      <formula>$D$9</formula>
    </cfRule>
    <cfRule type="cellIs" dxfId="13" priority="25" operator="equal">
      <formula>$D$9</formula>
    </cfRule>
  </conditionalFormatting>
  <conditionalFormatting sqref="I19">
    <cfRule type="cellIs" dxfId="12" priority="22" operator="notEqual">
      <formula>$H$19</formula>
    </cfRule>
    <cfRule type="cellIs" dxfId="11" priority="23" operator="equal">
      <formula>$H$19</formula>
    </cfRule>
  </conditionalFormatting>
  <conditionalFormatting sqref="I15">
    <cfRule type="cellIs" dxfId="10" priority="7" operator="notEqual">
      <formula>$H$15</formula>
    </cfRule>
    <cfRule type="cellIs" dxfId="9" priority="8" operator="equal">
      <formula>$H$15</formula>
    </cfRule>
  </conditionalFormatting>
  <conditionalFormatting sqref="E14">
    <cfRule type="cellIs" dxfId="8" priority="13" operator="notEqual">
      <formula>$D$9</formula>
    </cfRule>
    <cfRule type="cellIs" dxfId="7" priority="14" operator="equal">
      <formula>$D$9</formula>
    </cfRule>
  </conditionalFormatting>
  <conditionalFormatting sqref="E15">
    <cfRule type="cellIs" dxfId="6" priority="11" operator="notEqual">
      <formula>$D$9</formula>
    </cfRule>
    <cfRule type="cellIs" dxfId="5" priority="12" operator="equal">
      <formula>$D$9</formula>
    </cfRule>
  </conditionalFormatting>
  <conditionalFormatting sqref="I14">
    <cfRule type="cellIs" dxfId="4" priority="5" operator="notEqual">
      <formula>$H$14</formula>
    </cfRule>
    <cfRule type="cellIs" dxfId="3" priority="6" operator="equal">
      <formula>$H$14</formula>
    </cfRule>
  </conditionalFormatting>
  <conditionalFormatting sqref="L14:L15">
    <cfRule type="iconSet" priority="1">
      <iconSet>
        <cfvo type="percent" val="0"/>
        <cfvo type="percent" val="33"/>
        <cfvo type="percent" val="67"/>
      </iconSet>
    </cfRule>
    <cfRule type="containsText" dxfId="2" priority="2" operator="containsText" text="Loss">
      <formula>NOT(ISERROR(SEARCH("Loss",L14)))</formula>
    </cfRule>
    <cfRule type="containsText" dxfId="1" priority="3" operator="containsText" text="No">
      <formula>NOT(ISERROR(SEARCH("No",L14)))</formula>
    </cfRule>
    <cfRule type="containsText" dxfId="0" priority="4" operator="containsText" text="Profit">
      <formula>NOT(ISERROR(SEARCH("Profit",L14)))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9" id="{11491F3C-6347-46F0-9D80-321105E4CD94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Flags" iconId="0"/>
              <x14:cfIcon iconSet="NoIcons" iconId="0"/>
              <x14:cfIcon iconSet="3Flags" iconId="2"/>
            </x14:iconSet>
          </x14:cfRule>
          <xm:sqref>F9</xm:sqref>
        </x14:conditionalFormatting>
        <x14:conditionalFormatting xmlns:xm="http://schemas.microsoft.com/office/excel/2006/main">
          <x14:cfRule type="iconSet" priority="28" id="{58D25979-4B86-4998-A2DC-098C41B30255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Flags" iconId="0"/>
              <x14:cfIcon iconSet="NoIcons" iconId="0"/>
              <x14:cfIcon iconSet="3Flags" iconId="2"/>
            </x14:iconSet>
          </x14:cfRule>
          <xm:sqref>F19</xm:sqref>
        </x14:conditionalFormatting>
        <x14:conditionalFormatting xmlns:xm="http://schemas.microsoft.com/office/excel/2006/main">
          <x14:cfRule type="iconSet" priority="15" id="{A8E551E5-FF5A-42BA-9C48-933250F0E56E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Flags" iconId="0"/>
              <x14:cfIcon iconSet="NoIcons" iconId="0"/>
              <x14:cfIcon iconSet="3Flags" iconId="2"/>
            </x14:iconSet>
          </x14:cfRule>
          <xm:sqref>F14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Flat</vt:lpstr>
      <vt:lpstr>Sliding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Rishikesh Giri</dc:creator>
  <cp:lastModifiedBy>Rishikesh Giri</cp:lastModifiedBy>
  <dcterms:created xsi:type="dcterms:W3CDTF">2018-11-26T17:20:35Z</dcterms:created>
  <dcterms:modified xsi:type="dcterms:W3CDTF">2018-11-27T21:48:34Z</dcterms:modified>
</cp:coreProperties>
</file>